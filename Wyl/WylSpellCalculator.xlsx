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eld\Documents\Story\DnD-Stories\Wyl\"/>
    </mc:Choice>
  </mc:AlternateContent>
  <xr:revisionPtr revIDLastSave="0" documentId="8_{5DACA8C6-93B0-4F14-B6C4-C89522C041F4}" xr6:coauthVersionLast="47" xr6:coauthVersionMax="47" xr10:uidLastSave="{00000000-0000-0000-0000-000000000000}"/>
  <bookViews>
    <workbookView xWindow="29940" yWindow="4035" windowWidth="21150" windowHeight="13410" xr2:uid="{96C2C509-C2EB-4782-9CB0-0F51D4E87A56}"/>
  </bookViews>
  <sheets>
    <sheet name="Calculator" sheetId="1" r:id="rId1"/>
    <sheet name="Magic Genera" sheetId="3" r:id="rId2"/>
    <sheet name="Constan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7" i="1" l="1"/>
  <c r="L8" i="1"/>
  <c r="M8" i="1"/>
  <c r="N8" i="1" a="1"/>
  <c r="R8" i="1" s="1"/>
  <c r="S8" i="1" s="1"/>
  <c r="O8" i="1"/>
  <c r="P8" i="1"/>
  <c r="L9" i="1"/>
  <c r="M9" i="1"/>
  <c r="N9" i="1" a="1"/>
  <c r="O9" i="1"/>
  <c r="P9" i="1"/>
  <c r="R9" i="1"/>
  <c r="S9" i="1" s="1"/>
  <c r="L10" i="1"/>
  <c r="M10" i="1"/>
  <c r="N10" i="1" a="1"/>
  <c r="O10" i="1"/>
  <c r="P10" i="1"/>
  <c r="R10" i="1"/>
  <c r="S10" i="1"/>
  <c r="L11" i="1"/>
  <c r="R11" i="1" s="1"/>
  <c r="S11" i="1" s="1"/>
  <c r="M11" i="1"/>
  <c r="N11" i="1" a="1"/>
  <c r="O11" i="1"/>
  <c r="P11" i="1"/>
  <c r="L12" i="1"/>
  <c r="R12" i="1" s="1"/>
  <c r="S12" i="1" s="1"/>
  <c r="M12" i="1"/>
  <c r="N12" i="1" a="1"/>
  <c r="O12" i="1"/>
  <c r="P12" i="1"/>
  <c r="L13" i="1"/>
  <c r="M13" i="1"/>
  <c r="N13" i="1" a="1"/>
  <c r="O13" i="1"/>
  <c r="P13" i="1"/>
  <c r="R13" i="1"/>
  <c r="S13" i="1"/>
  <c r="L14" i="1"/>
  <c r="R14" i="1" s="1"/>
  <c r="S14" i="1" s="1"/>
  <c r="M14" i="1"/>
  <c r="N14" i="1" a="1"/>
  <c r="O14" i="1"/>
  <c r="P14" i="1"/>
  <c r="L15" i="1"/>
  <c r="R15" i="1" s="1"/>
  <c r="S15" i="1" s="1"/>
  <c r="M15" i="1"/>
  <c r="N15" i="1" a="1"/>
  <c r="O15" i="1"/>
  <c r="P15" i="1"/>
  <c r="L16" i="1"/>
  <c r="R16" i="1" s="1"/>
  <c r="S16" i="1" s="1"/>
  <c r="M16" i="1"/>
  <c r="N16" i="1" a="1"/>
  <c r="O16" i="1"/>
  <c r="P16" i="1"/>
  <c r="L17" i="1"/>
  <c r="M17" i="1"/>
  <c r="N17" i="1" a="1"/>
  <c r="O17" i="1"/>
  <c r="P17" i="1"/>
  <c r="R17" i="1"/>
  <c r="S17" i="1"/>
  <c r="L18" i="1"/>
  <c r="R18" i="1" s="1"/>
  <c r="S18" i="1" s="1"/>
  <c r="M18" i="1"/>
  <c r="N18" i="1" a="1"/>
  <c r="O18" i="1"/>
  <c r="P18" i="1"/>
  <c r="L19" i="1"/>
  <c r="M19" i="1"/>
  <c r="N19" i="1" a="1"/>
  <c r="O19" i="1"/>
  <c r="P19" i="1"/>
  <c r="R19" i="1"/>
  <c r="S19" i="1"/>
  <c r="L20" i="1"/>
  <c r="R20" i="1" s="1"/>
  <c r="S20" i="1" s="1"/>
  <c r="M20" i="1"/>
  <c r="N20" i="1" a="1"/>
  <c r="O20" i="1"/>
  <c r="P20" i="1"/>
  <c r="L21" i="1"/>
  <c r="M21" i="1"/>
  <c r="N21" i="1" a="1"/>
  <c r="O21" i="1"/>
  <c r="P21" i="1"/>
  <c r="R21" i="1"/>
  <c r="S21" i="1"/>
  <c r="L22" i="1"/>
  <c r="R22" i="1" s="1"/>
  <c r="S22" i="1" s="1"/>
  <c r="M22" i="1"/>
  <c r="N22" i="1" a="1"/>
  <c r="O22" i="1"/>
  <c r="P22" i="1"/>
  <c r="L23" i="1"/>
  <c r="M23" i="1"/>
  <c r="N23" i="1" a="1"/>
  <c r="O23" i="1"/>
  <c r="P23" i="1"/>
  <c r="R23" i="1"/>
  <c r="S23" i="1"/>
  <c r="L24" i="1"/>
  <c r="R24" i="1" s="1"/>
  <c r="S24" i="1" s="1"/>
  <c r="M24" i="1"/>
  <c r="N24" i="1" a="1"/>
  <c r="O24" i="1"/>
  <c r="P24" i="1"/>
  <c r="L25" i="1"/>
  <c r="M25" i="1"/>
  <c r="N25" i="1" a="1"/>
  <c r="O25" i="1"/>
  <c r="P25" i="1"/>
  <c r="R25" i="1"/>
  <c r="S25" i="1"/>
  <c r="L7" i="1"/>
  <c r="M7" i="1"/>
  <c r="N7" i="1" a="1"/>
  <c r="O7" i="1"/>
  <c r="P6" i="1"/>
  <c r="L6" i="1"/>
  <c r="M6" i="1"/>
  <c r="N6" i="1" a="1"/>
  <c r="O6" i="1"/>
  <c r="L4" i="1"/>
  <c r="M4" i="1"/>
  <c r="N4" i="1" a="1"/>
  <c r="O4" i="1"/>
  <c r="P4" i="1"/>
  <c r="L5" i="1"/>
  <c r="M5" i="1"/>
  <c r="N5" i="1" a="1"/>
  <c r="O5" i="1"/>
  <c r="P5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26" i="1"/>
  <c r="L27" i="1"/>
  <c r="L28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N29" i="1" a="1"/>
  <c r="N30" i="1" a="1"/>
  <c r="N31" i="1" a="1"/>
  <c r="N32" i="1" a="1"/>
  <c r="N33" i="1" a="1"/>
  <c r="N34" i="1" a="1"/>
  <c r="N35" i="1" a="1"/>
  <c r="N36" i="1" a="1"/>
  <c r="N37" i="1" a="1"/>
  <c r="N38" i="1" a="1"/>
  <c r="N39" i="1" a="1"/>
  <c r="N40" i="1" a="1"/>
  <c r="N41" i="1" a="1"/>
  <c r="N42" i="1" a="1"/>
  <c r="P26" i="1"/>
  <c r="O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26" i="1"/>
  <c r="N28" i="1" a="1"/>
  <c r="N43" i="1" a="1"/>
  <c r="N44" i="1" a="1"/>
  <c r="N45" i="1" a="1"/>
  <c r="N46" i="1" a="1"/>
  <c r="N47" i="1" a="1"/>
  <c r="N26" i="1" a="1"/>
  <c r="N27" i="1" a="1"/>
  <c r="R7" i="1" l="1"/>
  <c r="S7" i="1" s="1"/>
  <c r="R6" i="1"/>
  <c r="S6" i="1" s="1"/>
  <c r="R4" i="1"/>
  <c r="S4" i="1" s="1"/>
  <c r="R5" i="1"/>
  <c r="S5" i="1" s="1"/>
  <c r="R40" i="1"/>
  <c r="S40" i="1" s="1"/>
  <c r="R41" i="1"/>
  <c r="S41" i="1" s="1"/>
  <c r="R35" i="1"/>
  <c r="S35" i="1" s="1"/>
  <c r="R36" i="1"/>
  <c r="S36" i="1" s="1"/>
  <c r="R39" i="1"/>
  <c r="S39" i="1" s="1"/>
  <c r="R37" i="1"/>
  <c r="S37" i="1" s="1"/>
  <c r="R38" i="1"/>
  <c r="S38" i="1" s="1"/>
  <c r="R33" i="1"/>
  <c r="S33" i="1" s="1"/>
  <c r="R32" i="1"/>
  <c r="S32" i="1" s="1"/>
  <c r="R42" i="1"/>
  <c r="S42" i="1" s="1"/>
  <c r="R29" i="1"/>
  <c r="S29" i="1" s="1"/>
  <c r="R30" i="1"/>
  <c r="S30" i="1" s="1"/>
  <c r="R34" i="1"/>
  <c r="S34" i="1" s="1"/>
  <c r="R31" i="1"/>
  <c r="S31" i="1" s="1"/>
  <c r="R28" i="1"/>
  <c r="S28" i="1" s="1"/>
  <c r="R27" i="1"/>
  <c r="S27" i="1" s="1"/>
  <c r="R26" i="1"/>
  <c r="S2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<sst xmlns="http://schemas.openxmlformats.org/spreadsheetml/2006/main" count="106" uniqueCount="83">
  <si>
    <t>Spell</t>
  </si>
  <si>
    <t>Range</t>
  </si>
  <si>
    <t>Duration</t>
  </si>
  <si>
    <t>Duration Unit</t>
  </si>
  <si>
    <t>Shield</t>
  </si>
  <si>
    <t>rounds</t>
  </si>
  <si>
    <t>minutes</t>
  </si>
  <si>
    <t>hours</t>
  </si>
  <si>
    <t>days</t>
  </si>
  <si>
    <t>Wyl Requirement</t>
  </si>
  <si>
    <t>Duration (H)</t>
  </si>
  <si>
    <t>Target Count</t>
  </si>
  <si>
    <t>Targets</t>
  </si>
  <si>
    <t>Options</t>
  </si>
  <si>
    <t>Factors</t>
  </si>
  <si>
    <t>Self</t>
  </si>
  <si>
    <t>Range (m)</t>
  </si>
  <si>
    <t>O2 Name</t>
  </si>
  <si>
    <t>O1 Amt</t>
  </si>
  <si>
    <t>O1 Name</t>
  </si>
  <si>
    <t>O2 Amt</t>
  </si>
  <si>
    <t>AC</t>
  </si>
  <si>
    <t>Genus</t>
  </si>
  <si>
    <t>Effect</t>
  </si>
  <si>
    <t>Units</t>
  </si>
  <si>
    <t>Abjuration</t>
  </si>
  <si>
    <t>resist</t>
  </si>
  <si>
    <t>1 creature / 1 resist / 1 type of damage or effect / 1 hour</t>
  </si>
  <si>
    <t>protection</t>
  </si>
  <si>
    <t>1 creature / 1 effect / 1 hour</t>
  </si>
  <si>
    <t>1 creature or object / 1 AC / 1 hour</t>
  </si>
  <si>
    <t>Divination</t>
  </si>
  <si>
    <t>divine</t>
  </si>
  <si>
    <t>1 question / 100mi</t>
  </si>
  <si>
    <t>Enchantment</t>
  </si>
  <si>
    <t>1kg / 1 hour</t>
  </si>
  <si>
    <t>1 sq m / 1 hour</t>
  </si>
  <si>
    <t>Conjuration</t>
  </si>
  <si>
    <t>conjure</t>
  </si>
  <si>
    <t>1 cubic m / 1kg</t>
  </si>
  <si>
    <t>Hallucination</t>
  </si>
  <si>
    <t>hallucinate</t>
  </si>
  <si>
    <t>1 creature / 1 sense</t>
  </si>
  <si>
    <t>Illusion</t>
  </si>
  <si>
    <t>illusion</t>
  </si>
  <si>
    <t>1 cubic m / 1 hour</t>
  </si>
  <si>
    <t>Telekinesis</t>
  </si>
  <si>
    <t>move</t>
  </si>
  <si>
    <t>1kg / 1m</t>
  </si>
  <si>
    <t>Telepathy</t>
  </si>
  <si>
    <t>telepath</t>
  </si>
  <si>
    <t>1 thought / 1 creature / 1 round</t>
  </si>
  <si>
    <t>Transformation</t>
  </si>
  <si>
    <t>transform</t>
  </si>
  <si>
    <t>1kg over 1 hour</t>
  </si>
  <si>
    <t>Base Cost 1</t>
  </si>
  <si>
    <t>Magic Missile</t>
  </si>
  <si>
    <t>Shield of Faith</t>
  </si>
  <si>
    <t>enchant target</t>
  </si>
  <si>
    <t>enchant area</t>
  </si>
  <si>
    <t>Aquadatic Adaption</t>
  </si>
  <si>
    <t>[TOP LINE BLANK]</t>
  </si>
  <si>
    <t>weight</t>
  </si>
  <si>
    <t>Blade Ward</t>
  </si>
  <si>
    <t>Rounded</t>
  </si>
  <si>
    <t>Bless</t>
  </si>
  <si>
    <t>Change Appearance</t>
  </si>
  <si>
    <t>Color Spray</t>
  </si>
  <si>
    <t>Detect Magic</t>
  </si>
  <si>
    <t>Disguise Self</t>
  </si>
  <si>
    <t>Dispel Magic</t>
  </si>
  <si>
    <t>Fireball</t>
  </si>
  <si>
    <t>Fly</t>
  </si>
  <si>
    <t>Guidance</t>
  </si>
  <si>
    <t>Illusory Creature</t>
  </si>
  <si>
    <t>Illusory Object</t>
  </si>
  <si>
    <t>Illusory Phenomenon</t>
  </si>
  <si>
    <t>Illusory Script</t>
  </si>
  <si>
    <t>Mage Hand</t>
  </si>
  <si>
    <t>Excavate</t>
  </si>
  <si>
    <t>Difficult Terrain</t>
  </si>
  <si>
    <t>Natural Weapons</t>
  </si>
  <si>
    <t>Rock 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</si>
</sst>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2" borderId="0" xfId="0" applyFill="1" applyAlignment="1">
      <alignment horizontal="center"/>
    </xf>
    <xf numFmtId="0" fontId="1" fillId="2" borderId="1" xfId="0" applyFont="1" applyFill="1" applyBorder="1"/>
    <xf numFmtId="0" fontId="0" fillId="2" borderId="0" xfId="0" applyFill="1"/>
  </cellXfs>
  <cellStyles count="1">
    <cellStyle name="Normal" xfId="0" builtinId="0"/>
  </cellStyles>
  <dxfs count="1"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CC05-ECD7-4B16-9EAF-53E056690749}">
  <dimension ref="A2:S47"/>
  <sheetViews>
    <sheetView tabSelected="1" workbookViewId="0">
      <pane ySplit="3" topLeftCell="A4" activePane="bottomLeft" state="frozen"/>
      <selection pane="bottomLeft" activeCell="B8" sqref="B8"/>
    </sheetView>
  </sheetViews>
  <sheetFormatPr defaultRowHeight="15" x14ac:dyDescent="0.25"/>
  <cols>
    <col min="1" max="1" width="13.5703125" bestFit="1" customWidth="1"/>
    <col min="12" max="16" width="9.140625" style="4"/>
  </cols>
  <sheetData>
    <row r="2" spans="1:19" x14ac:dyDescent="0.25">
      <c r="L2" s="2" t="s">
        <v>14</v>
      </c>
      <c r="M2" s="2"/>
      <c r="N2" s="2"/>
      <c r="O2" s="2"/>
      <c r="P2" s="2"/>
    </row>
    <row r="3" spans="1:19" s="1" customFormat="1" x14ac:dyDescent="0.25">
      <c r="A3" s="1" t="s">
        <v>0</v>
      </c>
      <c r="B3" s="1" t="s">
        <v>23</v>
      </c>
      <c r="C3" s="1" t="s">
        <v>16</v>
      </c>
      <c r="D3" s="1" t="s">
        <v>2</v>
      </c>
      <c r="E3" s="1" t="s">
        <v>3</v>
      </c>
      <c r="F3" s="1" t="s">
        <v>11</v>
      </c>
      <c r="G3" s="1" t="s">
        <v>18</v>
      </c>
      <c r="H3" s="1" t="s">
        <v>19</v>
      </c>
      <c r="I3" s="1" t="s">
        <v>20</v>
      </c>
      <c r="J3" s="1" t="s">
        <v>17</v>
      </c>
      <c r="L3" s="3" t="s">
        <v>55</v>
      </c>
      <c r="M3" s="3" t="s">
        <v>1</v>
      </c>
      <c r="N3" s="3" t="s">
        <v>10</v>
      </c>
      <c r="O3" s="3" t="s">
        <v>12</v>
      </c>
      <c r="P3" s="3" t="s">
        <v>13</v>
      </c>
      <c r="R3" s="1" t="s">
        <v>9</v>
      </c>
      <c r="S3" s="1" t="s">
        <v>64</v>
      </c>
    </row>
    <row r="4" spans="1:19" x14ac:dyDescent="0.25">
      <c r="A4" t="s">
        <v>61</v>
      </c>
      <c r="L4" s="4" t="e">
        <f>INDEX('Magic Genera'!C:C,MATCH(B4,'Magic Genera'!B:B,0))</f>
        <v>#N/A</v>
      </c>
      <c r="M4" s="4">
        <f t="shared" ref="M4:M5" si="0">1+IF(ISNUMBER(C4),C4,0)/100</f>
        <v>1</v>
      </c>
      <c r="N4" s="4" t="str" cm="1">
        <f t="array" ref="N4">IF(ISNUMBER(D4),_xlfn.IFS(E4="hours",D4,E4="minutes",D4/60,E4="rounds",D4/600,E4="days",D4*24),"")</f>
        <v/>
      </c>
      <c r="O4" s="4">
        <f t="shared" ref="O4:O5" si="1">F4</f>
        <v>0</v>
      </c>
      <c r="P4" s="4">
        <f t="shared" ref="P4:P5" si="2">G4+I4</f>
        <v>0</v>
      </c>
      <c r="R4">
        <f t="shared" ref="R4:R5" si="3">IF(ISNUMBER(L4),L4,1)*IF(ISNUMBER(M4),M4,1)*IF(ISNUMBER(N4),N4,1)*IF(ISNUMBER(O4),O4,1)*IF(ISNUMBER(P4),P4,1)</f>
        <v>0</v>
      </c>
      <c r="S4">
        <f>_xlfn.CEILING.MATH(R4)</f>
        <v>0</v>
      </c>
    </row>
    <row r="5" spans="1:19" x14ac:dyDescent="0.25">
      <c r="A5" t="s">
        <v>60</v>
      </c>
      <c r="B5" t="s">
        <v>53</v>
      </c>
      <c r="C5" t="s">
        <v>15</v>
      </c>
      <c r="D5">
        <v>1</v>
      </c>
      <c r="E5" t="s">
        <v>7</v>
      </c>
      <c r="F5">
        <v>1</v>
      </c>
      <c r="G5">
        <v>100</v>
      </c>
      <c r="H5" t="s">
        <v>62</v>
      </c>
      <c r="L5" s="4">
        <f>INDEX('Magic Genera'!C:C,MATCH(B5,'Magic Genera'!B:B,0))</f>
        <v>100</v>
      </c>
      <c r="M5" s="4">
        <f t="shared" si="0"/>
        <v>1</v>
      </c>
      <c r="N5" s="4" cm="1">
        <f t="array" ref="N5">IF(ISNUMBER(D5),_xlfn.IFS(E5="hours",D5,E5="minutes",D5/60,E5="rounds",D5/600,E5="days",D5*24),"")</f>
        <v>1</v>
      </c>
      <c r="O5" s="4">
        <f t="shared" si="1"/>
        <v>1</v>
      </c>
      <c r="P5" s="4">
        <f t="shared" si="2"/>
        <v>100</v>
      </c>
      <c r="R5">
        <f t="shared" si="3"/>
        <v>10000</v>
      </c>
      <c r="S5">
        <f t="shared" ref="S5:S42" si="4">_xlfn.CEILING.MATH(R5)</f>
        <v>10000</v>
      </c>
    </row>
    <row r="6" spans="1:19" x14ac:dyDescent="0.25">
      <c r="A6" t="s">
        <v>63</v>
      </c>
      <c r="B6" t="s">
        <v>26</v>
      </c>
      <c r="C6" t="s">
        <v>15</v>
      </c>
      <c r="D6">
        <v>1</v>
      </c>
      <c r="E6" t="s">
        <v>5</v>
      </c>
      <c r="F6">
        <v>1</v>
      </c>
      <c r="G6">
        <v>100</v>
      </c>
      <c r="H6" t="s">
        <v>26</v>
      </c>
      <c r="L6" s="4">
        <f>INDEX('Magic Genera'!C:C,MATCH(B6,'Magic Genera'!B:B,0))</f>
        <v>1</v>
      </c>
      <c r="M6" s="4">
        <f>1+IF(ISNUMBER(C6),C6,0)/100</f>
        <v>1</v>
      </c>
      <c r="N6" s="4" cm="1">
        <f t="array" ref="N6">IF(ISNUMBER(D6),_xlfn.IFS(E6="hours",D6,E6="minutes",D6/60,E6="rounds",D6/600,E6="days",D6*24),"")</f>
        <v>1.6666666666666668E-3</v>
      </c>
      <c r="O6" s="4">
        <f>F6</f>
        <v>1</v>
      </c>
      <c r="P6" s="4">
        <f>G6*3</f>
        <v>300</v>
      </c>
      <c r="R6">
        <f>IF(ISNUMBER(L6),L6,1)*IF(ISNUMBER(M6),M6,1)*IF(ISNUMBER(N6),N6,1)*IF(ISNUMBER(O6),O6,1)*IF(ISNUMBER(P6),P6,1)</f>
        <v>0.5</v>
      </c>
      <c r="S6">
        <f t="shared" si="4"/>
        <v>1</v>
      </c>
    </row>
    <row r="7" spans="1:19" x14ac:dyDescent="0.25">
      <c r="A7" t="s">
        <v>65</v>
      </c>
      <c r="B7" t="s">
        <v>58</v>
      </c>
      <c r="C7">
        <v>10</v>
      </c>
      <c r="D7">
        <v>1</v>
      </c>
      <c r="E7" t="s">
        <v>6</v>
      </c>
      <c r="F7">
        <v>3</v>
      </c>
      <c r="G7">
        <v>100</v>
      </c>
      <c r="H7" t="s">
        <v>62</v>
      </c>
      <c r="L7" s="4">
        <f>INDEX('Magic Genera'!C:C,MATCH(B7,'Magic Genera'!B:B,0))</f>
        <v>10</v>
      </c>
      <c r="M7" s="4">
        <f>1+IF(ISNUMBER(C7),C7,0)/100</f>
        <v>1.1000000000000001</v>
      </c>
      <c r="N7" s="4" cm="1">
        <f t="array" ref="N7">IF(ISNUMBER(D7),_xlfn.IFS(E7="hours",D7,E7="minutes",D7/60,E7="rounds",D7/600,E7="days",D7*24),"")</f>
        <v>1.6666666666666666E-2</v>
      </c>
      <c r="O7" s="4">
        <f>F7</f>
        <v>3</v>
      </c>
      <c r="P7" s="4">
        <f>G7</f>
        <v>100</v>
      </c>
      <c r="R7">
        <f>IF(ISNUMBER(L7),L7,1)*IF(ISNUMBER(M7),M7,1)*IF(ISNUMBER(N7),N7,1)*IF(ISNUMBER(O7),O7,1)*IF(ISNUMBER(P7),P7,1)</f>
        <v>54.999999999999993</v>
      </c>
      <c r="S7">
        <f t="shared" si="4"/>
        <v>55</v>
      </c>
    </row>
    <row r="8" spans="1:19" x14ac:dyDescent="0.25">
      <c r="A8" t="s">
        <v>66</v>
      </c>
      <c r="L8" s="4" t="e">
        <f>INDEX('Magic Genera'!C:C,MATCH(B8,'Magic Genera'!B:B,0))</f>
        <v>#N/A</v>
      </c>
      <c r="M8" s="4">
        <f t="shared" ref="M8:M25" si="5">1+IF(ISNUMBER(C8),C8,0)/100</f>
        <v>1</v>
      </c>
      <c r="N8" s="4" t="str" cm="1">
        <f t="array" ref="N8">IF(ISNUMBER(D8),_xlfn.IFS(E8="hours",D8,E8="minutes",D8/60,E8="rounds",D8/600,E8="days",D8*24),"")</f>
        <v/>
      </c>
      <c r="O8" s="4">
        <f t="shared" ref="O8:O25" si="6">F8</f>
        <v>0</v>
      </c>
      <c r="P8" s="4">
        <f t="shared" ref="P8:P25" si="7">G8+I8</f>
        <v>0</v>
      </c>
      <c r="R8">
        <f t="shared" ref="R8:R25" si="8">IF(ISNUMBER(L8),L8,1)*IF(ISNUMBER(M8),M8,1)*IF(ISNUMBER(N8),N8,1)*IF(ISNUMBER(O8),O8,1)*IF(ISNUMBER(P8),P8,1)</f>
        <v>0</v>
      </c>
      <c r="S8">
        <f t="shared" si="4"/>
        <v>0</v>
      </c>
    </row>
    <row r="9" spans="1:19" x14ac:dyDescent="0.25">
      <c r="A9" t="s">
        <v>67</v>
      </c>
      <c r="L9" s="4" t="e">
        <f>INDEX('Magic Genera'!C:C,MATCH(B9,'Magic Genera'!B:B,0))</f>
        <v>#N/A</v>
      </c>
      <c r="M9" s="4">
        <f t="shared" si="5"/>
        <v>1</v>
      </c>
      <c r="N9" s="4" t="str" cm="1">
        <f t="array" ref="N9">IF(ISNUMBER(D9),_xlfn.IFS(E9="hours",D9,E9="minutes",D9/60,E9="rounds",D9/600,E9="days",D9*24),"")</f>
        <v/>
      </c>
      <c r="O9" s="4">
        <f t="shared" si="6"/>
        <v>0</v>
      </c>
      <c r="P9" s="4">
        <f t="shared" si="7"/>
        <v>0</v>
      </c>
      <c r="R9">
        <f t="shared" si="8"/>
        <v>0</v>
      </c>
      <c r="S9">
        <f t="shared" si="4"/>
        <v>0</v>
      </c>
    </row>
    <row r="10" spans="1:19" x14ac:dyDescent="0.25">
      <c r="A10" t="s">
        <v>68</v>
      </c>
      <c r="L10" s="4" t="e">
        <f>INDEX('Magic Genera'!C:C,MATCH(B10,'Magic Genera'!B:B,0))</f>
        <v>#N/A</v>
      </c>
      <c r="M10" s="4">
        <f t="shared" si="5"/>
        <v>1</v>
      </c>
      <c r="N10" s="4" t="str" cm="1">
        <f t="array" ref="N10">IF(ISNUMBER(D10),_xlfn.IFS(E10="hours",D10,E10="minutes",D10/60,E10="rounds",D10/600,E10="days",D10*24),"")</f>
        <v/>
      </c>
      <c r="O10" s="4">
        <f t="shared" si="6"/>
        <v>0</v>
      </c>
      <c r="P10" s="4">
        <f t="shared" si="7"/>
        <v>0</v>
      </c>
      <c r="R10">
        <f t="shared" si="8"/>
        <v>0</v>
      </c>
      <c r="S10">
        <f t="shared" si="4"/>
        <v>0</v>
      </c>
    </row>
    <row r="11" spans="1:19" x14ac:dyDescent="0.25">
      <c r="A11" t="s">
        <v>80</v>
      </c>
      <c r="L11" s="4" t="e">
        <f>INDEX('Magic Genera'!C:C,MATCH(B11,'Magic Genera'!B:B,0))</f>
        <v>#N/A</v>
      </c>
      <c r="M11" s="4">
        <f t="shared" si="5"/>
        <v>1</v>
      </c>
      <c r="N11" s="4" t="str" cm="1">
        <f t="array" ref="N11">IF(ISNUMBER(D11),_xlfn.IFS(E11="hours",D11,E11="minutes",D11/60,E11="rounds",D11/600,E11="days",D11*24),"")</f>
        <v/>
      </c>
      <c r="O11" s="4">
        <f t="shared" si="6"/>
        <v>0</v>
      </c>
      <c r="P11" s="4">
        <f t="shared" si="7"/>
        <v>0</v>
      </c>
      <c r="R11">
        <f t="shared" si="8"/>
        <v>0</v>
      </c>
      <c r="S11">
        <f t="shared" si="4"/>
        <v>0</v>
      </c>
    </row>
    <row r="12" spans="1:19" x14ac:dyDescent="0.25">
      <c r="A12" t="s">
        <v>69</v>
      </c>
      <c r="L12" s="4" t="e">
        <f>INDEX('Magic Genera'!C:C,MATCH(B12,'Magic Genera'!B:B,0))</f>
        <v>#N/A</v>
      </c>
      <c r="M12" s="4">
        <f t="shared" si="5"/>
        <v>1</v>
      </c>
      <c r="N12" s="4" t="str" cm="1">
        <f t="array" ref="N12">IF(ISNUMBER(D12),_xlfn.IFS(E12="hours",D12,E12="minutes",D12/60,E12="rounds",D12/600,E12="days",D12*24),"")</f>
        <v/>
      </c>
      <c r="O12" s="4">
        <f t="shared" si="6"/>
        <v>0</v>
      </c>
      <c r="P12" s="4">
        <f t="shared" si="7"/>
        <v>0</v>
      </c>
      <c r="R12">
        <f t="shared" si="8"/>
        <v>0</v>
      </c>
      <c r="S12">
        <f t="shared" si="4"/>
        <v>0</v>
      </c>
    </row>
    <row r="13" spans="1:19" x14ac:dyDescent="0.25">
      <c r="A13" t="s">
        <v>70</v>
      </c>
      <c r="L13" s="4" t="e">
        <f>INDEX('Magic Genera'!C:C,MATCH(B13,'Magic Genera'!B:B,0))</f>
        <v>#N/A</v>
      </c>
      <c r="M13" s="4">
        <f t="shared" si="5"/>
        <v>1</v>
      </c>
      <c r="N13" s="4" t="str" cm="1">
        <f t="array" ref="N13">IF(ISNUMBER(D13),_xlfn.IFS(E13="hours",D13,E13="minutes",D13/60,E13="rounds",D13/600,E13="days",D13*24),"")</f>
        <v/>
      </c>
      <c r="O13" s="4">
        <f t="shared" si="6"/>
        <v>0</v>
      </c>
      <c r="P13" s="4">
        <f t="shared" si="7"/>
        <v>0</v>
      </c>
      <c r="R13">
        <f t="shared" si="8"/>
        <v>0</v>
      </c>
      <c r="S13">
        <f t="shared" si="4"/>
        <v>0</v>
      </c>
    </row>
    <row r="14" spans="1:19" x14ac:dyDescent="0.25">
      <c r="A14" t="s">
        <v>79</v>
      </c>
      <c r="L14" s="4" t="e">
        <f>INDEX('Magic Genera'!C:C,MATCH(B14,'Magic Genera'!B:B,0))</f>
        <v>#N/A</v>
      </c>
      <c r="M14" s="4">
        <f t="shared" si="5"/>
        <v>1</v>
      </c>
      <c r="N14" s="4" t="str" cm="1">
        <f t="array" ref="N14">IF(ISNUMBER(D14),_xlfn.IFS(E14="hours",D14,E14="minutes",D14/60,E14="rounds",D14/600,E14="days",D14*24),"")</f>
        <v/>
      </c>
      <c r="O14" s="4">
        <f t="shared" si="6"/>
        <v>0</v>
      </c>
      <c r="P14" s="4">
        <f t="shared" si="7"/>
        <v>0</v>
      </c>
      <c r="R14">
        <f t="shared" si="8"/>
        <v>0</v>
      </c>
      <c r="S14">
        <f t="shared" si="4"/>
        <v>0</v>
      </c>
    </row>
    <row r="15" spans="1:19" x14ac:dyDescent="0.25">
      <c r="A15" t="s">
        <v>71</v>
      </c>
      <c r="L15" s="4" t="e">
        <f>INDEX('Magic Genera'!C:C,MATCH(B15,'Magic Genera'!B:B,0))</f>
        <v>#N/A</v>
      </c>
      <c r="M15" s="4">
        <f t="shared" si="5"/>
        <v>1</v>
      </c>
      <c r="N15" s="4" t="str" cm="1">
        <f t="array" ref="N15">IF(ISNUMBER(D15),_xlfn.IFS(E15="hours",D15,E15="minutes",D15/60,E15="rounds",D15/600,E15="days",D15*24),"")</f>
        <v/>
      </c>
      <c r="O15" s="4">
        <f t="shared" si="6"/>
        <v>0</v>
      </c>
      <c r="P15" s="4">
        <f t="shared" si="7"/>
        <v>0</v>
      </c>
      <c r="R15">
        <f t="shared" si="8"/>
        <v>0</v>
      </c>
      <c r="S15">
        <f t="shared" si="4"/>
        <v>0</v>
      </c>
    </row>
    <row r="16" spans="1:19" x14ac:dyDescent="0.25">
      <c r="A16" t="s">
        <v>72</v>
      </c>
      <c r="L16" s="4" t="e">
        <f>INDEX('Magic Genera'!C:C,MATCH(B16,'Magic Genera'!B:B,0))</f>
        <v>#N/A</v>
      </c>
      <c r="M16" s="4">
        <f t="shared" si="5"/>
        <v>1</v>
      </c>
      <c r="N16" s="4" t="str" cm="1">
        <f t="array" ref="N16">IF(ISNUMBER(D16),_xlfn.IFS(E16="hours",D16,E16="minutes",D16/60,E16="rounds",D16/600,E16="days",D16*24),"")</f>
        <v/>
      </c>
      <c r="O16" s="4">
        <f t="shared" si="6"/>
        <v>0</v>
      </c>
      <c r="P16" s="4">
        <f t="shared" si="7"/>
        <v>0</v>
      </c>
      <c r="R16">
        <f t="shared" si="8"/>
        <v>0</v>
      </c>
      <c r="S16">
        <f t="shared" si="4"/>
        <v>0</v>
      </c>
    </row>
    <row r="17" spans="1:19" x14ac:dyDescent="0.25">
      <c r="A17" t="s">
        <v>73</v>
      </c>
      <c r="L17" s="4" t="e">
        <f>INDEX('Magic Genera'!C:C,MATCH(B17,'Magic Genera'!B:B,0))</f>
        <v>#N/A</v>
      </c>
      <c r="M17" s="4">
        <f t="shared" si="5"/>
        <v>1</v>
      </c>
      <c r="N17" s="4" t="str" cm="1">
        <f t="array" ref="N17">IF(ISNUMBER(D17),_xlfn.IFS(E17="hours",D17,E17="minutes",D17/60,E17="rounds",D17/600,E17="days",D17*24),"")</f>
        <v/>
      </c>
      <c r="O17" s="4">
        <f t="shared" si="6"/>
        <v>0</v>
      </c>
      <c r="P17" s="4">
        <f t="shared" si="7"/>
        <v>0</v>
      </c>
      <c r="R17">
        <f t="shared" si="8"/>
        <v>0</v>
      </c>
      <c r="S17">
        <f t="shared" si="4"/>
        <v>0</v>
      </c>
    </row>
    <row r="18" spans="1:19" x14ac:dyDescent="0.25">
      <c r="A18" t="s">
        <v>74</v>
      </c>
      <c r="L18" s="4" t="e">
        <f>INDEX('Magic Genera'!C:C,MATCH(B18,'Magic Genera'!B:B,0))</f>
        <v>#N/A</v>
      </c>
      <c r="M18" s="4">
        <f t="shared" si="5"/>
        <v>1</v>
      </c>
      <c r="N18" s="4" t="str" cm="1">
        <f t="array" ref="N18">IF(ISNUMBER(D18),_xlfn.IFS(E18="hours",D18,E18="minutes",D18/60,E18="rounds",D18/600,E18="days",D18*24),"")</f>
        <v/>
      </c>
      <c r="O18" s="4">
        <f t="shared" si="6"/>
        <v>0</v>
      </c>
      <c r="P18" s="4">
        <f t="shared" si="7"/>
        <v>0</v>
      </c>
      <c r="R18">
        <f t="shared" si="8"/>
        <v>0</v>
      </c>
      <c r="S18">
        <f t="shared" si="4"/>
        <v>0</v>
      </c>
    </row>
    <row r="19" spans="1:19" x14ac:dyDescent="0.25">
      <c r="A19" t="s">
        <v>75</v>
      </c>
      <c r="L19" s="4" t="e">
        <f>INDEX('Magic Genera'!C:C,MATCH(B19,'Magic Genera'!B:B,0))</f>
        <v>#N/A</v>
      </c>
      <c r="M19" s="4">
        <f t="shared" si="5"/>
        <v>1</v>
      </c>
      <c r="N19" s="4" t="str" cm="1">
        <f t="array" ref="N19">IF(ISNUMBER(D19),_xlfn.IFS(E19="hours",D19,E19="minutes",D19/60,E19="rounds",D19/600,E19="days",D19*24),"")</f>
        <v/>
      </c>
      <c r="O19" s="4">
        <f t="shared" si="6"/>
        <v>0</v>
      </c>
      <c r="P19" s="4">
        <f t="shared" si="7"/>
        <v>0</v>
      </c>
      <c r="R19">
        <f t="shared" si="8"/>
        <v>0</v>
      </c>
      <c r="S19">
        <f t="shared" si="4"/>
        <v>0</v>
      </c>
    </row>
    <row r="20" spans="1:19" x14ac:dyDescent="0.25">
      <c r="A20" t="s">
        <v>76</v>
      </c>
      <c r="L20" s="4" t="e">
        <f>INDEX('Magic Genera'!C:C,MATCH(B20,'Magic Genera'!B:B,0))</f>
        <v>#N/A</v>
      </c>
      <c r="M20" s="4">
        <f t="shared" si="5"/>
        <v>1</v>
      </c>
      <c r="N20" s="4" t="str" cm="1">
        <f t="array" ref="N20">IF(ISNUMBER(D20),_xlfn.IFS(E20="hours",D20,E20="minutes",D20/60,E20="rounds",D20/600,E20="days",D20*24),"")</f>
        <v/>
      </c>
      <c r="O20" s="4">
        <f t="shared" si="6"/>
        <v>0</v>
      </c>
      <c r="P20" s="4">
        <f t="shared" si="7"/>
        <v>0</v>
      </c>
      <c r="R20">
        <f t="shared" si="8"/>
        <v>0</v>
      </c>
      <c r="S20">
        <f t="shared" si="4"/>
        <v>0</v>
      </c>
    </row>
    <row r="21" spans="1:19" x14ac:dyDescent="0.25">
      <c r="A21" t="s">
        <v>77</v>
      </c>
      <c r="L21" s="4" t="e">
        <f>INDEX('Magic Genera'!C:C,MATCH(B21,'Magic Genera'!B:B,0))</f>
        <v>#N/A</v>
      </c>
      <c r="M21" s="4">
        <f t="shared" si="5"/>
        <v>1</v>
      </c>
      <c r="N21" s="4" t="str" cm="1">
        <f t="array" ref="N21">IF(ISNUMBER(D21),_xlfn.IFS(E21="hours",D21,E21="minutes",D21/60,E21="rounds",D21/600,E21="days",D21*24),"")</f>
        <v/>
      </c>
      <c r="O21" s="4">
        <f t="shared" si="6"/>
        <v>0</v>
      </c>
      <c r="P21" s="4">
        <f t="shared" si="7"/>
        <v>0</v>
      </c>
      <c r="R21">
        <f t="shared" si="8"/>
        <v>0</v>
      </c>
      <c r="S21">
        <f t="shared" si="4"/>
        <v>0</v>
      </c>
    </row>
    <row r="22" spans="1:19" x14ac:dyDescent="0.25">
      <c r="A22" t="s">
        <v>78</v>
      </c>
      <c r="L22" s="4" t="e">
        <f>INDEX('Magic Genera'!C:C,MATCH(B22,'Magic Genera'!B:B,0))</f>
        <v>#N/A</v>
      </c>
      <c r="M22" s="4">
        <f t="shared" si="5"/>
        <v>1</v>
      </c>
      <c r="N22" s="4" t="str" cm="1">
        <f t="array" ref="N22">IF(ISNUMBER(D22),_xlfn.IFS(E22="hours",D22,E22="minutes",D22/60,E22="rounds",D22/600,E22="days",D22*24),"")</f>
        <v/>
      </c>
      <c r="O22" s="4">
        <f t="shared" si="6"/>
        <v>0</v>
      </c>
      <c r="P22" s="4">
        <f t="shared" si="7"/>
        <v>0</v>
      </c>
      <c r="R22">
        <f t="shared" si="8"/>
        <v>0</v>
      </c>
      <c r="S22">
        <f t="shared" si="4"/>
        <v>0</v>
      </c>
    </row>
    <row r="23" spans="1:19" x14ac:dyDescent="0.25">
      <c r="A23" t="s">
        <v>56</v>
      </c>
      <c r="L23" s="4" t="e">
        <f>INDEX('Magic Genera'!C:C,MATCH(B23,'Magic Genera'!B:B,0))</f>
        <v>#N/A</v>
      </c>
      <c r="M23" s="4">
        <f t="shared" si="5"/>
        <v>1</v>
      </c>
      <c r="N23" s="4" t="str" cm="1">
        <f t="array" ref="N23">IF(ISNUMBER(D23),_xlfn.IFS(E23="hours",D23,E23="minutes",D23/60,E23="rounds",D23/600,E23="days",D23*24),"")</f>
        <v/>
      </c>
      <c r="O23" s="4">
        <f t="shared" si="6"/>
        <v>0</v>
      </c>
      <c r="P23" s="4">
        <f t="shared" si="7"/>
        <v>0</v>
      </c>
      <c r="R23">
        <f t="shared" si="8"/>
        <v>0</v>
      </c>
      <c r="S23">
        <f t="shared" si="4"/>
        <v>0</v>
      </c>
    </row>
    <row r="24" spans="1:19" x14ac:dyDescent="0.25">
      <c r="A24" t="s">
        <v>81</v>
      </c>
      <c r="L24" s="4" t="e">
        <f>INDEX('Magic Genera'!C:C,MATCH(B24,'Magic Genera'!B:B,0))</f>
        <v>#N/A</v>
      </c>
      <c r="M24" s="4">
        <f t="shared" si="5"/>
        <v>1</v>
      </c>
      <c r="N24" s="4" t="str" cm="1">
        <f t="array" ref="N24">IF(ISNUMBER(D24),_xlfn.IFS(E24="hours",D24,E24="minutes",D24/60,E24="rounds",D24/600,E24="days",D24*24),"")</f>
        <v/>
      </c>
      <c r="O24" s="4">
        <f t="shared" si="6"/>
        <v>0</v>
      </c>
      <c r="P24" s="4">
        <f t="shared" si="7"/>
        <v>0</v>
      </c>
      <c r="R24">
        <f t="shared" si="8"/>
        <v>0</v>
      </c>
      <c r="S24">
        <f t="shared" si="4"/>
        <v>0</v>
      </c>
    </row>
    <row r="25" spans="1:19" x14ac:dyDescent="0.25">
      <c r="A25" t="s">
        <v>82</v>
      </c>
      <c r="L25" s="4" t="e">
        <f>INDEX('Magic Genera'!C:C,MATCH(B25,'Magic Genera'!B:B,0))</f>
        <v>#N/A</v>
      </c>
      <c r="M25" s="4">
        <f t="shared" si="5"/>
        <v>1</v>
      </c>
      <c r="N25" s="4" t="str" cm="1">
        <f t="array" ref="N25">IF(ISNUMBER(D25),_xlfn.IFS(E25="hours",D25,E25="minutes",D25/60,E25="rounds",D25/600,E25="days",D25*24),"")</f>
        <v/>
      </c>
      <c r="O25" s="4">
        <f t="shared" si="6"/>
        <v>0</v>
      </c>
      <c r="P25" s="4">
        <f t="shared" si="7"/>
        <v>0</v>
      </c>
      <c r="R25">
        <f t="shared" si="8"/>
        <v>0</v>
      </c>
      <c r="S25">
        <f t="shared" si="4"/>
        <v>0</v>
      </c>
    </row>
    <row r="26" spans="1:19" x14ac:dyDescent="0.25">
      <c r="A26" t="s">
        <v>4</v>
      </c>
      <c r="B26" t="s">
        <v>21</v>
      </c>
      <c r="C26" t="s">
        <v>15</v>
      </c>
      <c r="D26">
        <v>1</v>
      </c>
      <c r="E26" t="s">
        <v>5</v>
      </c>
      <c r="F26">
        <v>1</v>
      </c>
      <c r="G26">
        <v>5</v>
      </c>
      <c r="H26" t="s">
        <v>21</v>
      </c>
      <c r="I26">
        <v>1</v>
      </c>
      <c r="J26" t="s">
        <v>56</v>
      </c>
      <c r="L26" s="4">
        <f>INDEX('Magic Genera'!C:C,MATCH(B26,'Magic Genera'!B:B,0))</f>
        <v>10</v>
      </c>
      <c r="M26" s="4">
        <f>1+IF(ISNUMBER(C26),C26,0)/100</f>
        <v>1</v>
      </c>
      <c r="N26" s="4" cm="1">
        <f t="array" ref="N26">IF(ISNUMBER(D26),_xlfn.IFS(E26="hours",D26,E26="minutes",D26/60,E26="rounds",D26/600,E26="days",D26*24),"")</f>
        <v>1.6666666666666668E-3</v>
      </c>
      <c r="O26" s="4">
        <f>F26</f>
        <v>1</v>
      </c>
      <c r="P26" s="4">
        <f>G26+I26</f>
        <v>6</v>
      </c>
      <c r="R26">
        <f>IF(ISNUMBER(L26),L26,1)*IF(ISNUMBER(M26),M26,1)*IF(ISNUMBER(N26),N26,1)*IF(ISNUMBER(O26),O26,1)*IF(ISNUMBER(P26),P26,1)</f>
        <v>0.1</v>
      </c>
      <c r="S26">
        <f t="shared" si="4"/>
        <v>1</v>
      </c>
    </row>
    <row r="27" spans="1:19" x14ac:dyDescent="0.25">
      <c r="A27" t="s">
        <v>57</v>
      </c>
      <c r="B27" t="s">
        <v>21</v>
      </c>
      <c r="C27">
        <v>20</v>
      </c>
      <c r="D27">
        <v>10</v>
      </c>
      <c r="E27" t="s">
        <v>6</v>
      </c>
      <c r="F27">
        <v>1</v>
      </c>
      <c r="G27">
        <v>2</v>
      </c>
      <c r="H27" t="s">
        <v>21</v>
      </c>
      <c r="L27" s="4">
        <f>INDEX('Magic Genera'!C:C,MATCH(B27,'Magic Genera'!B:B,0))</f>
        <v>10</v>
      </c>
      <c r="M27" s="4">
        <f t="shared" ref="M27:M42" si="9">1+IF(ISNUMBER(C27),C27,0)/100</f>
        <v>1.2</v>
      </c>
      <c r="N27" s="4" cm="1">
        <f t="array" ref="N27">IF(ISNUMBER(D27),_xlfn.IFS(E27="hours",D27,E27="minutes",D27/60,E27="rounds",D27/600,E27="days",D27*24),"")</f>
        <v>0.16666666666666666</v>
      </c>
      <c r="O27" s="4">
        <f t="shared" ref="O27:O42" si="10">F27</f>
        <v>1</v>
      </c>
      <c r="P27" s="4">
        <f t="shared" ref="P27:P42" si="11">G27+I27</f>
        <v>2</v>
      </c>
      <c r="R27">
        <f t="shared" ref="R27:R42" si="12">IF(ISNUMBER(L27),L27,1)*IF(ISNUMBER(M27),M27,1)*IF(ISNUMBER(N27),N27,1)*IF(ISNUMBER(O27),O27,1)*IF(ISNUMBER(P27),P27,1)</f>
        <v>4</v>
      </c>
      <c r="S27">
        <f t="shared" si="4"/>
        <v>4</v>
      </c>
    </row>
    <row r="28" spans="1:19" x14ac:dyDescent="0.25">
      <c r="D28">
        <v>2</v>
      </c>
      <c r="E28" t="s">
        <v>7</v>
      </c>
      <c r="L28" s="4" t="e">
        <f>INDEX('Magic Genera'!C:C,MATCH(B28,'Magic Genera'!B:B,0))</f>
        <v>#N/A</v>
      </c>
      <c r="M28" s="4">
        <f t="shared" si="9"/>
        <v>1</v>
      </c>
      <c r="N28" s="4" cm="1">
        <f t="array" ref="N28">IF(ISNUMBER(D28),_xlfn.IFS(E28="hours",D28,E28="minutes",D28/60,E28="rounds",D28/600,E28="days",D28*24),"")</f>
        <v>2</v>
      </c>
      <c r="O28" s="4">
        <f t="shared" si="10"/>
        <v>0</v>
      </c>
      <c r="P28" s="4">
        <f t="shared" si="11"/>
        <v>0</v>
      </c>
      <c r="R28">
        <f t="shared" si="12"/>
        <v>0</v>
      </c>
      <c r="S28">
        <f t="shared" si="4"/>
        <v>0</v>
      </c>
    </row>
    <row r="29" spans="1:19" x14ac:dyDescent="0.25">
      <c r="L29" s="4" t="e">
        <f>INDEX('Magic Genera'!C:C,MATCH(B29,'Magic Genera'!B:B,0))</f>
        <v>#N/A</v>
      </c>
      <c r="M29" s="4">
        <f t="shared" si="9"/>
        <v>1</v>
      </c>
      <c r="N29" s="4" t="str" cm="1">
        <f t="array" ref="N29">IF(ISNUMBER(D29),_xlfn.IFS(E29="hours",D29,E29="minutes",D29/60,E29="rounds",D29/600,E29="days",D29*24),"")</f>
        <v/>
      </c>
      <c r="O29" s="4">
        <f t="shared" si="10"/>
        <v>0</v>
      </c>
      <c r="P29" s="4">
        <f t="shared" si="11"/>
        <v>0</v>
      </c>
      <c r="R29">
        <f t="shared" si="12"/>
        <v>0</v>
      </c>
      <c r="S29">
        <f t="shared" si="4"/>
        <v>0</v>
      </c>
    </row>
    <row r="30" spans="1:19" x14ac:dyDescent="0.25">
      <c r="L30" s="4" t="e">
        <f>INDEX('Magic Genera'!C:C,MATCH(B30,'Magic Genera'!B:B,0))</f>
        <v>#N/A</v>
      </c>
      <c r="M30" s="4">
        <f t="shared" si="9"/>
        <v>1</v>
      </c>
      <c r="N30" s="4" t="str" cm="1">
        <f t="array" ref="N30">IF(ISNUMBER(D30),_xlfn.IFS(E30="hours",D30,E30="minutes",D30/60,E30="rounds",D30/600,E30="days",D30*24),"")</f>
        <v/>
      </c>
      <c r="O30" s="4">
        <f t="shared" si="10"/>
        <v>0</v>
      </c>
      <c r="P30" s="4">
        <f t="shared" si="11"/>
        <v>0</v>
      </c>
      <c r="R30">
        <f t="shared" si="12"/>
        <v>0</v>
      </c>
      <c r="S30">
        <f t="shared" si="4"/>
        <v>0</v>
      </c>
    </row>
    <row r="31" spans="1:19" x14ac:dyDescent="0.25">
      <c r="L31" s="4" t="e">
        <f>INDEX('Magic Genera'!C:C,MATCH(B31,'Magic Genera'!B:B,0))</f>
        <v>#N/A</v>
      </c>
      <c r="M31" s="4">
        <f t="shared" si="9"/>
        <v>1</v>
      </c>
      <c r="N31" s="4" t="str" cm="1">
        <f t="array" ref="N31">IF(ISNUMBER(D31),_xlfn.IFS(E31="hours",D31,E31="minutes",D31/60,E31="rounds",D31/600,E31="days",D31*24),"")</f>
        <v/>
      </c>
      <c r="O31" s="4">
        <f t="shared" si="10"/>
        <v>0</v>
      </c>
      <c r="P31" s="4">
        <f t="shared" si="11"/>
        <v>0</v>
      </c>
      <c r="R31">
        <f t="shared" si="12"/>
        <v>0</v>
      </c>
      <c r="S31">
        <f t="shared" si="4"/>
        <v>0</v>
      </c>
    </row>
    <row r="32" spans="1:19" x14ac:dyDescent="0.25">
      <c r="L32" s="4" t="e">
        <f>INDEX('Magic Genera'!C:C,MATCH(B32,'Magic Genera'!B:B,0))</f>
        <v>#N/A</v>
      </c>
      <c r="M32" s="4">
        <f t="shared" si="9"/>
        <v>1</v>
      </c>
      <c r="N32" s="4" t="str" cm="1">
        <f t="array" ref="N32">IF(ISNUMBER(D32),_xlfn.IFS(E32="hours",D32,E32="minutes",D32/60,E32="rounds",D32/600,E32="days",D32*24),"")</f>
        <v/>
      </c>
      <c r="O32" s="4">
        <f t="shared" si="10"/>
        <v>0</v>
      </c>
      <c r="P32" s="4">
        <f t="shared" si="11"/>
        <v>0</v>
      </c>
      <c r="R32">
        <f t="shared" si="12"/>
        <v>0</v>
      </c>
      <c r="S32">
        <f t="shared" si="4"/>
        <v>0</v>
      </c>
    </row>
    <row r="33" spans="12:19" x14ac:dyDescent="0.25">
      <c r="L33" s="4" t="e">
        <f>INDEX('Magic Genera'!C:C,MATCH(B33,'Magic Genera'!B:B,0))</f>
        <v>#N/A</v>
      </c>
      <c r="M33" s="4">
        <f t="shared" si="9"/>
        <v>1</v>
      </c>
      <c r="N33" s="4" t="str" cm="1">
        <f t="array" ref="N33">IF(ISNUMBER(D33),_xlfn.IFS(E33="hours",D33,E33="minutes",D33/60,E33="rounds",D33/600,E33="days",D33*24),"")</f>
        <v/>
      </c>
      <c r="O33" s="4">
        <f t="shared" si="10"/>
        <v>0</v>
      </c>
      <c r="P33" s="4">
        <f t="shared" si="11"/>
        <v>0</v>
      </c>
      <c r="R33">
        <f t="shared" si="12"/>
        <v>0</v>
      </c>
      <c r="S33">
        <f t="shared" si="4"/>
        <v>0</v>
      </c>
    </row>
    <row r="34" spans="12:19" x14ac:dyDescent="0.25">
      <c r="L34" s="4" t="e">
        <f>INDEX('Magic Genera'!C:C,MATCH(B34,'Magic Genera'!B:B,0))</f>
        <v>#N/A</v>
      </c>
      <c r="M34" s="4">
        <f t="shared" si="9"/>
        <v>1</v>
      </c>
      <c r="N34" s="4" t="str" cm="1">
        <f t="array" ref="N34">IF(ISNUMBER(D34),_xlfn.IFS(E34="hours",D34,E34="minutes",D34/60,E34="rounds",D34/600,E34="days",D34*24),"")</f>
        <v/>
      </c>
      <c r="O34" s="4">
        <f t="shared" si="10"/>
        <v>0</v>
      </c>
      <c r="P34" s="4">
        <f t="shared" si="11"/>
        <v>0</v>
      </c>
      <c r="R34">
        <f t="shared" si="12"/>
        <v>0</v>
      </c>
      <c r="S34">
        <f t="shared" si="4"/>
        <v>0</v>
      </c>
    </row>
    <row r="35" spans="12:19" x14ac:dyDescent="0.25">
      <c r="L35" s="4" t="e">
        <f>INDEX('Magic Genera'!C:C,MATCH(B35,'Magic Genera'!B:B,0))</f>
        <v>#N/A</v>
      </c>
      <c r="M35" s="4">
        <f t="shared" si="9"/>
        <v>1</v>
      </c>
      <c r="N35" s="4" t="str" cm="1">
        <f t="array" ref="N35">IF(ISNUMBER(D35),_xlfn.IFS(E35="hours",D35,E35="minutes",D35/60,E35="rounds",D35/600,E35="days",D35*24),"")</f>
        <v/>
      </c>
      <c r="O35" s="4">
        <f t="shared" si="10"/>
        <v>0</v>
      </c>
      <c r="P35" s="4">
        <f t="shared" si="11"/>
        <v>0</v>
      </c>
      <c r="R35">
        <f t="shared" si="12"/>
        <v>0</v>
      </c>
      <c r="S35">
        <f t="shared" si="4"/>
        <v>0</v>
      </c>
    </row>
    <row r="36" spans="12:19" x14ac:dyDescent="0.25">
      <c r="L36" s="4" t="e">
        <f>INDEX('Magic Genera'!C:C,MATCH(B36,'Magic Genera'!B:B,0))</f>
        <v>#N/A</v>
      </c>
      <c r="M36" s="4">
        <f t="shared" si="9"/>
        <v>1</v>
      </c>
      <c r="N36" s="4" t="str" cm="1">
        <f t="array" ref="N36">IF(ISNUMBER(D36),_xlfn.IFS(E36="hours",D36,E36="minutes",D36/60,E36="rounds",D36/600,E36="days",D36*24),"")</f>
        <v/>
      </c>
      <c r="O36" s="4">
        <f t="shared" si="10"/>
        <v>0</v>
      </c>
      <c r="P36" s="4">
        <f t="shared" si="11"/>
        <v>0</v>
      </c>
      <c r="R36">
        <f t="shared" si="12"/>
        <v>0</v>
      </c>
      <c r="S36">
        <f t="shared" si="4"/>
        <v>0</v>
      </c>
    </row>
    <row r="37" spans="12:19" x14ac:dyDescent="0.25">
      <c r="L37" s="4" t="e">
        <f>INDEX('Magic Genera'!C:C,MATCH(B37,'Magic Genera'!B:B,0))</f>
        <v>#N/A</v>
      </c>
      <c r="M37" s="4">
        <f t="shared" si="9"/>
        <v>1</v>
      </c>
      <c r="N37" s="4" t="str" cm="1">
        <f t="array" ref="N37">IF(ISNUMBER(D37),_xlfn.IFS(E37="hours",D37,E37="minutes",D37/60,E37="rounds",D37/600,E37="days",D37*24),"")</f>
        <v/>
      </c>
      <c r="O37" s="4">
        <f t="shared" si="10"/>
        <v>0</v>
      </c>
      <c r="P37" s="4">
        <f t="shared" si="11"/>
        <v>0</v>
      </c>
      <c r="R37">
        <f t="shared" si="12"/>
        <v>0</v>
      </c>
      <c r="S37">
        <f t="shared" si="4"/>
        <v>0</v>
      </c>
    </row>
    <row r="38" spans="12:19" x14ac:dyDescent="0.25">
      <c r="L38" s="4" t="e">
        <f>INDEX('Magic Genera'!C:C,MATCH(B38,'Magic Genera'!B:B,0))</f>
        <v>#N/A</v>
      </c>
      <c r="M38" s="4">
        <f t="shared" si="9"/>
        <v>1</v>
      </c>
      <c r="N38" s="4" t="str" cm="1">
        <f t="array" ref="N38">IF(ISNUMBER(D38),_xlfn.IFS(E38="hours",D38,E38="minutes",D38/60,E38="rounds",D38/600,E38="days",D38*24),"")</f>
        <v/>
      </c>
      <c r="O38" s="4">
        <f t="shared" si="10"/>
        <v>0</v>
      </c>
      <c r="P38" s="4">
        <f t="shared" si="11"/>
        <v>0</v>
      </c>
      <c r="R38">
        <f t="shared" si="12"/>
        <v>0</v>
      </c>
      <c r="S38">
        <f t="shared" si="4"/>
        <v>0</v>
      </c>
    </row>
    <row r="39" spans="12:19" x14ac:dyDescent="0.25">
      <c r="L39" s="4" t="e">
        <f>INDEX('Magic Genera'!C:C,MATCH(B39,'Magic Genera'!B:B,0))</f>
        <v>#N/A</v>
      </c>
      <c r="M39" s="4">
        <f t="shared" si="9"/>
        <v>1</v>
      </c>
      <c r="N39" s="4" t="str" cm="1">
        <f t="array" ref="N39">IF(ISNUMBER(D39),_xlfn.IFS(E39="hours",D39,E39="minutes",D39/60,E39="rounds",D39/600,E39="days",D39*24),"")</f>
        <v/>
      </c>
      <c r="O39" s="4">
        <f t="shared" si="10"/>
        <v>0</v>
      </c>
      <c r="P39" s="4">
        <f t="shared" si="11"/>
        <v>0</v>
      </c>
      <c r="R39">
        <f t="shared" si="12"/>
        <v>0</v>
      </c>
      <c r="S39">
        <f t="shared" si="4"/>
        <v>0</v>
      </c>
    </row>
    <row r="40" spans="12:19" x14ac:dyDescent="0.25">
      <c r="L40" s="4" t="e">
        <f>INDEX('Magic Genera'!C:C,MATCH(B40,'Magic Genera'!B:B,0))</f>
        <v>#N/A</v>
      </c>
      <c r="M40" s="4">
        <f t="shared" si="9"/>
        <v>1</v>
      </c>
      <c r="N40" s="4" t="str" cm="1">
        <f t="array" ref="N40">IF(ISNUMBER(D40),_xlfn.IFS(E40="hours",D40,E40="minutes",D40/60,E40="rounds",D40/600,E40="days",D40*24),"")</f>
        <v/>
      </c>
      <c r="O40" s="4">
        <f t="shared" si="10"/>
        <v>0</v>
      </c>
      <c r="P40" s="4">
        <f t="shared" si="11"/>
        <v>0</v>
      </c>
      <c r="R40">
        <f t="shared" si="12"/>
        <v>0</v>
      </c>
      <c r="S40">
        <f t="shared" si="4"/>
        <v>0</v>
      </c>
    </row>
    <row r="41" spans="12:19" x14ac:dyDescent="0.25">
      <c r="L41" s="4" t="e">
        <f>INDEX('Magic Genera'!C:C,MATCH(B41,'Magic Genera'!B:B,0))</f>
        <v>#N/A</v>
      </c>
      <c r="M41" s="4">
        <f t="shared" si="9"/>
        <v>1</v>
      </c>
      <c r="N41" s="4" t="str" cm="1">
        <f t="array" ref="N41">IF(ISNUMBER(D41),_xlfn.IFS(E41="hours",D41,E41="minutes",D41/60,E41="rounds",D41/600,E41="days",D41*24),"")</f>
        <v/>
      </c>
      <c r="O41" s="4">
        <f t="shared" si="10"/>
        <v>0</v>
      </c>
      <c r="P41" s="4">
        <f t="shared" si="11"/>
        <v>0</v>
      </c>
      <c r="R41">
        <f t="shared" si="12"/>
        <v>0</v>
      </c>
      <c r="S41">
        <f t="shared" si="4"/>
        <v>0</v>
      </c>
    </row>
    <row r="42" spans="12:19" x14ac:dyDescent="0.25">
      <c r="L42" s="4" t="e">
        <f>INDEX('Magic Genera'!C:C,MATCH(B42,'Magic Genera'!B:B,0))</f>
        <v>#N/A</v>
      </c>
      <c r="M42" s="4">
        <f t="shared" si="9"/>
        <v>1</v>
      </c>
      <c r="N42" s="4" t="str" cm="1">
        <f t="array" ref="N42">IF(ISNUMBER(D42),_xlfn.IFS(E42="hours",D42,E42="minutes",D42/60,E42="rounds",D42/600,E42="days",D42*24),"")</f>
        <v/>
      </c>
      <c r="O42" s="4">
        <f t="shared" si="10"/>
        <v>0</v>
      </c>
      <c r="P42" s="4">
        <f t="shared" si="11"/>
        <v>0</v>
      </c>
      <c r="R42">
        <f t="shared" si="12"/>
        <v>0</v>
      </c>
      <c r="S42">
        <f t="shared" si="4"/>
        <v>0</v>
      </c>
    </row>
    <row r="43" spans="12:19" x14ac:dyDescent="0.25">
      <c r="N43" s="4" t="str" cm="1">
        <f t="array" ref="N43">IF(ISNUMBER(D43),_xlfn.IFS(E43="hours",D43,E43="minutes",D43/60,E43="rounds",D43/600,E43="days",D43*24),"")</f>
        <v/>
      </c>
    </row>
    <row r="44" spans="12:19" x14ac:dyDescent="0.25">
      <c r="N44" s="4" t="str" cm="1">
        <f t="array" ref="N44">IF(ISNUMBER(D44),_xlfn.IFS(E44="hours",D44,E44="minutes",D44/60,E44="rounds",D44/600,E44="days",D44*24),"")</f>
        <v/>
      </c>
    </row>
    <row r="45" spans="12:19" x14ac:dyDescent="0.25">
      <c r="N45" s="4" t="str" cm="1">
        <f t="array" ref="N45">IF(ISNUMBER(D45),_xlfn.IFS(E45="hours",D45,E45="minutes",D45/60,E45="rounds",D45/600,E45="days",D45*24),"")</f>
        <v/>
      </c>
    </row>
    <row r="46" spans="12:19" x14ac:dyDescent="0.25">
      <c r="N46" s="4" t="str" cm="1">
        <f t="array" ref="N46">IF(ISNUMBER(D46),_xlfn.IFS(E46="hours",D46,E46="minutes",D46/60,E46="rounds",D46/600,E46="days",D46*24),"")</f>
        <v/>
      </c>
    </row>
    <row r="47" spans="12:19" x14ac:dyDescent="0.25">
      <c r="N47" s="4" t="str" cm="1">
        <f t="array" ref="N47">IF(ISNUMBER(D47),_xlfn.IFS(E47="hours",D47,E47="minutes",D47/60,E47="rounds",D47/600,E47="days",D47*24),"")</f>
        <v/>
      </c>
    </row>
  </sheetData>
  <mergeCells count="1">
    <mergeCell ref="L2:P2"/>
  </mergeCells>
  <conditionalFormatting sqref="R1:R1048576">
    <cfRule type="cellIs" dxfId="0" priority="1" operator="equal">
      <formula>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DA8C3CE-ABB6-48B0-B331-E25BEB961EC1}">
          <x14:formula1>
            <xm:f>Constants!$A:$A</xm:f>
          </x14:formula1>
          <xm:sqref>E1:E1048576</xm:sqref>
        </x14:dataValidation>
        <x14:dataValidation type="list" allowBlank="1" showInputMessage="1" showErrorMessage="1" xr:uid="{F7A9149B-760B-40A1-9DAD-6BD49322396A}">
          <x14:formula1>
            <xm:f>'Magic Genera'!$B:$B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1DA8C-F19F-45E3-A332-6001AE978446}">
  <dimension ref="A3:D15"/>
  <sheetViews>
    <sheetView workbookViewId="0">
      <selection activeCell="B10" sqref="B10"/>
    </sheetView>
  </sheetViews>
  <sheetFormatPr defaultRowHeight="15" x14ac:dyDescent="0.25"/>
  <cols>
    <col min="1" max="1" width="14.85546875" bestFit="1" customWidth="1"/>
    <col min="2" max="2" width="13.7109375" bestFit="1" customWidth="1"/>
    <col min="4" max="4" width="49.7109375" bestFit="1" customWidth="1"/>
  </cols>
  <sheetData>
    <row r="3" spans="1:4" s="1" customFormat="1" x14ac:dyDescent="0.25">
      <c r="A3" s="1" t="s">
        <v>22</v>
      </c>
      <c r="B3" s="1" t="s">
        <v>23</v>
      </c>
      <c r="C3" s="1" t="s">
        <v>9</v>
      </c>
      <c r="D3" s="1" t="s">
        <v>24</v>
      </c>
    </row>
    <row r="4" spans="1:4" x14ac:dyDescent="0.25">
      <c r="A4" t="s">
        <v>25</v>
      </c>
      <c r="B4" t="s">
        <v>26</v>
      </c>
      <c r="C4">
        <v>1</v>
      </c>
      <c r="D4" t="s">
        <v>27</v>
      </c>
    </row>
    <row r="5" spans="1:4" x14ac:dyDescent="0.25">
      <c r="A5" t="s">
        <v>25</v>
      </c>
      <c r="B5" t="s">
        <v>28</v>
      </c>
      <c r="C5">
        <v>10</v>
      </c>
      <c r="D5" t="s">
        <v>29</v>
      </c>
    </row>
    <row r="6" spans="1:4" x14ac:dyDescent="0.25">
      <c r="A6" t="s">
        <v>25</v>
      </c>
      <c r="B6" t="s">
        <v>21</v>
      </c>
      <c r="C6">
        <v>10</v>
      </c>
      <c r="D6" t="s">
        <v>30</v>
      </c>
    </row>
    <row r="7" spans="1:4" x14ac:dyDescent="0.25">
      <c r="A7" t="s">
        <v>31</v>
      </c>
      <c r="B7" t="s">
        <v>32</v>
      </c>
      <c r="C7">
        <v>100</v>
      </c>
      <c r="D7" t="s">
        <v>33</v>
      </c>
    </row>
    <row r="8" spans="1:4" x14ac:dyDescent="0.25">
      <c r="A8" t="s">
        <v>34</v>
      </c>
      <c r="B8" t="s">
        <v>58</v>
      </c>
      <c r="C8">
        <v>10</v>
      </c>
      <c r="D8" t="s">
        <v>35</v>
      </c>
    </row>
    <row r="9" spans="1:4" x14ac:dyDescent="0.25">
      <c r="A9" t="s">
        <v>34</v>
      </c>
      <c r="B9" t="s">
        <v>59</v>
      </c>
      <c r="C9">
        <v>1</v>
      </c>
      <c r="D9" t="s">
        <v>36</v>
      </c>
    </row>
    <row r="10" spans="1:4" x14ac:dyDescent="0.25">
      <c r="A10" t="s">
        <v>37</v>
      </c>
      <c r="B10" t="s">
        <v>38</v>
      </c>
      <c r="C10">
        <v>1000</v>
      </c>
      <c r="D10" t="s">
        <v>39</v>
      </c>
    </row>
    <row r="11" spans="1:4" x14ac:dyDescent="0.25">
      <c r="A11" t="s">
        <v>40</v>
      </c>
      <c r="B11" t="s">
        <v>41</v>
      </c>
      <c r="C11">
        <v>1</v>
      </c>
      <c r="D11" t="s">
        <v>42</v>
      </c>
    </row>
    <row r="12" spans="1:4" x14ac:dyDescent="0.25">
      <c r="A12" t="s">
        <v>43</v>
      </c>
      <c r="B12" t="s">
        <v>44</v>
      </c>
      <c r="C12">
        <v>1</v>
      </c>
      <c r="D12" t="s">
        <v>45</v>
      </c>
    </row>
    <row r="13" spans="1:4" x14ac:dyDescent="0.25">
      <c r="A13" t="s">
        <v>46</v>
      </c>
      <c r="B13" t="s">
        <v>47</v>
      </c>
      <c r="C13">
        <v>1</v>
      </c>
      <c r="D13" t="s">
        <v>48</v>
      </c>
    </row>
    <row r="14" spans="1:4" x14ac:dyDescent="0.25">
      <c r="A14" t="s">
        <v>49</v>
      </c>
      <c r="B14" t="s">
        <v>50</v>
      </c>
      <c r="C14">
        <v>0.01</v>
      </c>
      <c r="D14" t="s">
        <v>51</v>
      </c>
    </row>
    <row r="15" spans="1:4" x14ac:dyDescent="0.25">
      <c r="A15" t="s">
        <v>52</v>
      </c>
      <c r="B15" t="s">
        <v>53</v>
      </c>
      <c r="C15">
        <v>100</v>
      </c>
      <c r="D15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1FC8B-6891-48EA-89EB-9D8FC72669F3}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6</v>
      </c>
    </row>
    <row r="3" spans="1:1" x14ac:dyDescent="0.25">
      <c r="A3" t="s">
        <v>7</v>
      </c>
    </row>
    <row r="4" spans="1:1" x14ac:dyDescent="0.25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Calculator</vt:lpstr>
      <vt:lpstr>Magic Genera</vt:lpstr>
      <vt:lpstr>Constants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Sheneman</dc:creator>
  <cp:lastModifiedBy>Stephen Sheneman</cp:lastModifiedBy>
  <dcterms:created xsi:type="dcterms:W3CDTF">2026-07-17T01:12:48Z</dcterms:created>
  <dcterms:modified xsi:type="dcterms:W3CDTF">2026-07-17T04:16:29Z</dcterms:modified>
</cp:coreProperties>
</file>